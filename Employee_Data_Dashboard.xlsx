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0" documentId="8_{9D642099-5720-4808-AE5A-15ABF72224E0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Attendance by Department" sheetId="2" r:id="rId1"/>
    <sheet name="Salary by Department" sheetId="3" r:id="rId2"/>
    <sheet name="Employee Attendance" sheetId="4" r:id="rId3"/>
    <sheet name="Employee Dashboard" sheetId="7" r:id="rId4"/>
    <sheet name="Monthly Overtime" sheetId="5" r:id="rId5"/>
    <sheet name="Monthly Salary" sheetId="6" r:id="rId6"/>
    <sheet name="Employee Data" sheetId="1" r:id="rId7"/>
  </sheets>
  <calcPr calcId="191028"/>
  <pivotCaches>
    <pivotCache cacheId="112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7" l="1"/>
  <c r="J5" i="7"/>
  <c r="G5" i="7"/>
  <c r="D5" i="7"/>
  <c r="A5" i="7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</calcChain>
</file>

<file path=xl/sharedStrings.xml><?xml version="1.0" encoding="utf-8"?>
<sst xmlns="http://schemas.openxmlformats.org/spreadsheetml/2006/main" count="186" uniqueCount="57">
  <si>
    <t>Department</t>
  </si>
  <si>
    <t>Sum of Present_Days</t>
  </si>
  <si>
    <t>Sum of Leave_Days</t>
  </si>
  <si>
    <t>Finance</t>
  </si>
  <si>
    <t>HR</t>
  </si>
  <si>
    <t>IT</t>
  </si>
  <si>
    <t>Production</t>
  </si>
  <si>
    <t>Sales</t>
  </si>
  <si>
    <t>Grand Total</t>
  </si>
  <si>
    <t>Sum of Total Salary</t>
  </si>
  <si>
    <t>Sum of Overtime_Hours</t>
  </si>
  <si>
    <t>Employee_Name</t>
  </si>
  <si>
    <t>Average of Attendance %</t>
  </si>
  <si>
    <t>Amit Sharma</t>
  </si>
  <si>
    <t>Anjali Patil</t>
  </si>
  <si>
    <t>Neha Joshi</t>
  </si>
  <si>
    <t>Pooja Shinde</t>
  </si>
  <si>
    <t>Priya Patil</t>
  </si>
  <si>
    <t>Rahul Jadhav</t>
  </si>
  <si>
    <t>Rohan More</t>
  </si>
  <si>
    <t>Sagar Deshmukh</t>
  </si>
  <si>
    <t>Sneha Kulkarni</t>
  </si>
  <si>
    <t>Vikas Pawar</t>
  </si>
  <si>
    <t>EMPLOYEE ATTENDANCE &amp; SALARY</t>
  </si>
  <si>
    <t>Attendance, Salary &amp; Overtime Analysis Dashboard</t>
  </si>
  <si>
    <t>TOTAL EMPLOYEES</t>
  </si>
  <si>
    <t>TOTAL SALARY</t>
  </si>
  <si>
    <t>AVERAGE ATTENDANCE</t>
  </si>
  <si>
    <t>TOTAL OVERTIME HOURS</t>
  </si>
  <si>
    <t>TOTAL OVERTIME PAY</t>
  </si>
  <si>
    <t>Month</t>
  </si>
  <si>
    <t>Sum of Overtime_Pay</t>
  </si>
  <si>
    <t>Jan</t>
  </si>
  <si>
    <t>Feb</t>
  </si>
  <si>
    <t>Mar</t>
  </si>
  <si>
    <t>Sum of Basic_Salary</t>
  </si>
  <si>
    <t>Employee_ID</t>
  </si>
  <si>
    <t>Working_Days</t>
  </si>
  <si>
    <t>Present_Days</t>
  </si>
  <si>
    <t>Leave_Days</t>
  </si>
  <si>
    <t>Overtime_Hours</t>
  </si>
  <si>
    <t>Basic_Salary</t>
  </si>
  <si>
    <t>Overtime_Pay</t>
  </si>
  <si>
    <t>Attendance %</t>
  </si>
  <si>
    <t>Total Salary</t>
  </si>
  <si>
    <t>Salary per Working Day</t>
  </si>
  <si>
    <t>E001</t>
  </si>
  <si>
    <t>E002</t>
  </si>
  <si>
    <t>E003</t>
  </si>
  <si>
    <t>m</t>
  </si>
  <si>
    <t>E004</t>
  </si>
  <si>
    <t>E005</t>
  </si>
  <si>
    <t>E006</t>
  </si>
  <si>
    <t>E007</t>
  </si>
  <si>
    <t>E008</t>
  </si>
  <si>
    <t>E009</t>
  </si>
  <si>
    <t>E010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</si>
</sst>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11.xlsx]Attendance by Department!PivotTable1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by Department'!$B$3</c:f>
              <c:strCache>
                <c:ptCount val="1"/>
                <c:pt idx="0">
                  <c:v>Sum of Present_Days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'Attendance by Department'!$A$4:$A$9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'Attendance by Department'!$B$4:$B$9</c:f>
              <c:numCache>
                <c:formatCode>General</c:formatCode>
                <c:ptCount val="5"/>
                <c:pt idx="0">
                  <c:v>149</c:v>
                </c:pt>
                <c:pt idx="1">
                  <c:v>145</c:v>
                </c:pt>
                <c:pt idx="2">
                  <c:v>76</c:v>
                </c:pt>
                <c:pt idx="3">
                  <c:v>205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A-4B86-B5EF-8C4750499ACE}"/>
            </c:ext>
          </c:extLst>
        </c:ser>
        <c:ser>
          <c:idx val="1"/>
          <c:order val="1"/>
          <c:tx>
            <c:strRef>
              <c:f>'Attendance by Department'!$C$3</c:f>
              <c:strCache>
                <c:ptCount val="1"/>
                <c:pt idx="0">
                  <c:v>Sum of Leave_Days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'Attendance by Department'!$A$4:$A$9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'Attendance by Department'!$C$4:$C$9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1</c:v>
                </c:pt>
                <c:pt idx="3">
                  <c:v>26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FA-4B86-B5EF-8C475049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901191"/>
        <c:axId val="1767923719"/>
      </c:barChart>
      <c:catAx>
        <c:axId val="1767901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23719"/>
        <c:crosses val="autoZero"/>
        <c:auto val="1"/>
        <c:lblAlgn val="ctr"/>
        <c:lblOffset val="100"/>
        <c:noMultiLvlLbl val="0"/>
      </c:catAx>
      <c:valAx>
        <c:axId val="1767923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01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11.xlsx]Salary by Department!PivotTable2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by Department'!$B$3</c:f>
              <c:strCache>
                <c:ptCount val="1"/>
                <c:pt idx="0">
                  <c:v>Sum of Total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by Department'!$A$4:$A$9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'Salary by Department'!$B$4:$B$9</c:f>
              <c:numCache>
                <c:formatCode>"₹"\ #,##0.00</c:formatCode>
                <c:ptCount val="5"/>
                <c:pt idx="0">
                  <c:v>214800</c:v>
                </c:pt>
                <c:pt idx="1">
                  <c:v>183000</c:v>
                </c:pt>
                <c:pt idx="2">
                  <c:v>129600</c:v>
                </c:pt>
                <c:pt idx="3">
                  <c:v>267000</c:v>
                </c:pt>
                <c:pt idx="4">
                  <c:v>203000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3-4685-A10C-05F4BA5DB5CB}"/>
            </c:ext>
          </c:extLst>
        </c:ser>
        <c:ser>
          <c:idx val="1"/>
          <c:order val="1"/>
          <c:tx>
            <c:strRef>
              <c:f>'Salary by Department'!$C$3</c:f>
              <c:strCache>
                <c:ptCount val="1"/>
                <c:pt idx="0">
                  <c:v>Sum of Overtime_Hours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'Salary by Department'!$A$4:$A$9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'Salary by Department'!$C$4:$C$9</c:f>
              <c:numCache>
                <c:formatCode>General</c:formatCode>
                <c:ptCount val="5"/>
                <c:pt idx="0">
                  <c:v>39</c:v>
                </c:pt>
                <c:pt idx="1">
                  <c:v>30</c:v>
                </c:pt>
                <c:pt idx="2">
                  <c:v>48</c:v>
                </c:pt>
                <c:pt idx="3">
                  <c:v>120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73-4685-A10C-05F4BA5DB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397063"/>
        <c:axId val="1916360199"/>
      </c:barChart>
      <c:catAx>
        <c:axId val="1916397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60199"/>
        <c:crosses val="autoZero"/>
        <c:auto val="1"/>
        <c:lblAlgn val="ctr"/>
        <c:lblOffset val="100"/>
        <c:noMultiLvlLbl val="0"/>
      </c:catAx>
      <c:valAx>
        <c:axId val="1916360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9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11.xlsx]Employee Attendance!PivotTable3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Attendance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 Attendance'!$B$3</c:f>
              <c:strCache>
                <c:ptCount val="1"/>
                <c:pt idx="0">
                  <c:v>Average of Attendance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Attendance'!$A$4:$A$14</c:f>
              <c:strCache>
                <c:ptCount val="10"/>
                <c:pt idx="0">
                  <c:v>Amit Sharma</c:v>
                </c:pt>
                <c:pt idx="1">
                  <c:v>Anjali Patil</c:v>
                </c:pt>
                <c:pt idx="2">
                  <c:v>Neha Joshi</c:v>
                </c:pt>
                <c:pt idx="3">
                  <c:v>Pooja Shinde</c:v>
                </c:pt>
                <c:pt idx="4">
                  <c:v>Priya Patil</c:v>
                </c:pt>
                <c:pt idx="5">
                  <c:v>Rahul Jadhav</c:v>
                </c:pt>
                <c:pt idx="6">
                  <c:v>Rohan More</c:v>
                </c:pt>
                <c:pt idx="7">
                  <c:v>Sagar Deshmukh</c:v>
                </c:pt>
                <c:pt idx="8">
                  <c:v>Sneha Kulkarni</c:v>
                </c:pt>
                <c:pt idx="9">
                  <c:v>Vikas Pawar</c:v>
                </c:pt>
              </c:strCache>
            </c:strRef>
          </c:cat>
          <c:val>
            <c:numRef>
              <c:f>'Employee Attendance'!$B$4:$B$14</c:f>
              <c:numCache>
                <c:formatCode>0%</c:formatCode>
                <c:ptCount val="10"/>
                <c:pt idx="0">
                  <c:v>0.94812440645773977</c:v>
                </c:pt>
                <c:pt idx="1">
                  <c:v>0.96248812915479587</c:v>
                </c:pt>
                <c:pt idx="2">
                  <c:v>0.97376543209876543</c:v>
                </c:pt>
                <c:pt idx="3">
                  <c:v>0.91061253561253563</c:v>
                </c:pt>
                <c:pt idx="4">
                  <c:v>0.97483380816714149</c:v>
                </c:pt>
                <c:pt idx="5">
                  <c:v>0.85766856600189934</c:v>
                </c:pt>
                <c:pt idx="6">
                  <c:v>0.89672364672364668</c:v>
                </c:pt>
                <c:pt idx="7">
                  <c:v>0.81861348528015199</c:v>
                </c:pt>
                <c:pt idx="8">
                  <c:v>0.98717948717948723</c:v>
                </c:pt>
                <c:pt idx="9">
                  <c:v>0.9218898385565053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9-44DE-92BD-4BED38553343}"/>
            </c:ext>
          </c:extLst>
        </c:ser>
        <c:ser>
          <c:idx val="1"/>
          <c:order val="1"/>
          <c:tx>
            <c:strRef>
              <c:f>'Employee Attendance'!$C$3</c:f>
              <c:strCache>
                <c:ptCount val="1"/>
                <c:pt idx="0">
                  <c:v>Sum of Overtime_Hours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'Employee Attendance'!$A$4:$A$14</c:f>
              <c:strCache>
                <c:ptCount val="10"/>
                <c:pt idx="0">
                  <c:v>Amit Sharma</c:v>
                </c:pt>
                <c:pt idx="1">
                  <c:v>Anjali Patil</c:v>
                </c:pt>
                <c:pt idx="2">
                  <c:v>Neha Joshi</c:v>
                </c:pt>
                <c:pt idx="3">
                  <c:v>Pooja Shinde</c:v>
                </c:pt>
                <c:pt idx="4">
                  <c:v>Priya Patil</c:v>
                </c:pt>
                <c:pt idx="5">
                  <c:v>Rahul Jadhav</c:v>
                </c:pt>
                <c:pt idx="6">
                  <c:v>Rohan More</c:v>
                </c:pt>
                <c:pt idx="7">
                  <c:v>Sagar Deshmukh</c:v>
                </c:pt>
                <c:pt idx="8">
                  <c:v>Sneha Kulkarni</c:v>
                </c:pt>
                <c:pt idx="9">
                  <c:v>Vikas Pawar</c:v>
                </c:pt>
              </c:strCache>
            </c:strRef>
          </c:cat>
          <c:val>
            <c:numRef>
              <c:f>'Employee Attendance'!$C$4:$C$14</c:f>
              <c:numCache>
                <c:formatCode>General</c:formatCode>
                <c:ptCount val="10"/>
                <c:pt idx="0">
                  <c:v>30</c:v>
                </c:pt>
                <c:pt idx="1">
                  <c:v>18</c:v>
                </c:pt>
                <c:pt idx="2">
                  <c:v>21</c:v>
                </c:pt>
                <c:pt idx="3">
                  <c:v>15</c:v>
                </c:pt>
                <c:pt idx="4">
                  <c:v>15</c:v>
                </c:pt>
                <c:pt idx="5">
                  <c:v>41</c:v>
                </c:pt>
                <c:pt idx="6">
                  <c:v>36</c:v>
                </c:pt>
                <c:pt idx="7">
                  <c:v>54</c:v>
                </c:pt>
                <c:pt idx="8">
                  <c:v>48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F9-44DE-92BD-4BED38553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7323143"/>
        <c:axId val="1807325191"/>
      </c:barChart>
      <c:catAx>
        <c:axId val="1807323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25191"/>
        <c:crosses val="autoZero"/>
        <c:auto val="1"/>
        <c:lblAlgn val="ctr"/>
        <c:lblOffset val="100"/>
        <c:noMultiLvlLbl val="0"/>
      </c:catAx>
      <c:valAx>
        <c:axId val="1807325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2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11.xlsx]Attendance by Department!PivotTable1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by Department'!$B$3</c:f>
              <c:strCache>
                <c:ptCount val="1"/>
                <c:pt idx="0">
                  <c:v>Sum of Present_Days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'Attendance by Department'!$A$4:$A$9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'Attendance by Department'!$B$4:$B$9</c:f>
              <c:numCache>
                <c:formatCode>General</c:formatCode>
                <c:ptCount val="5"/>
                <c:pt idx="0">
                  <c:v>149</c:v>
                </c:pt>
                <c:pt idx="1">
                  <c:v>145</c:v>
                </c:pt>
                <c:pt idx="2">
                  <c:v>76</c:v>
                </c:pt>
                <c:pt idx="3">
                  <c:v>205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9-4A0F-96E3-C7E48B06263D}"/>
            </c:ext>
          </c:extLst>
        </c:ser>
        <c:ser>
          <c:idx val="1"/>
          <c:order val="1"/>
          <c:tx>
            <c:strRef>
              <c:f>'Attendance by Department'!$C$3</c:f>
              <c:strCache>
                <c:ptCount val="1"/>
                <c:pt idx="0">
                  <c:v>Sum of Leave_Days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'Attendance by Department'!$A$4:$A$9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'Attendance by Department'!$C$4:$C$9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1</c:v>
                </c:pt>
                <c:pt idx="3">
                  <c:v>26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9-4A0F-96E3-C7E48B062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901191"/>
        <c:axId val="1767923719"/>
      </c:barChart>
      <c:catAx>
        <c:axId val="1767901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23719"/>
        <c:crosses val="autoZero"/>
        <c:auto val="1"/>
        <c:lblAlgn val="ctr"/>
        <c:lblOffset val="100"/>
        <c:noMultiLvlLbl val="0"/>
      </c:catAx>
      <c:valAx>
        <c:axId val="1767923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01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11.xlsx]Salary by Department!PivotTable2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by Department'!$B$3</c:f>
              <c:strCache>
                <c:ptCount val="1"/>
                <c:pt idx="0">
                  <c:v>Sum of Total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by Department'!$A$4:$A$9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'Salary by Department'!$B$4:$B$9</c:f>
              <c:numCache>
                <c:formatCode>"₹"\ #,##0.00</c:formatCode>
                <c:ptCount val="5"/>
                <c:pt idx="0">
                  <c:v>214800</c:v>
                </c:pt>
                <c:pt idx="1">
                  <c:v>183000</c:v>
                </c:pt>
                <c:pt idx="2">
                  <c:v>129600</c:v>
                </c:pt>
                <c:pt idx="3">
                  <c:v>267000</c:v>
                </c:pt>
                <c:pt idx="4">
                  <c:v>203000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B-4260-8611-FF5CB37E71F3}"/>
            </c:ext>
          </c:extLst>
        </c:ser>
        <c:ser>
          <c:idx val="1"/>
          <c:order val="1"/>
          <c:tx>
            <c:strRef>
              <c:f>'Salary by Department'!$C$3</c:f>
              <c:strCache>
                <c:ptCount val="1"/>
                <c:pt idx="0">
                  <c:v>Sum of Overtime_Hours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'Salary by Department'!$A$4:$A$9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'Salary by Department'!$C$4:$C$9</c:f>
              <c:numCache>
                <c:formatCode>General</c:formatCode>
                <c:ptCount val="5"/>
                <c:pt idx="0">
                  <c:v>39</c:v>
                </c:pt>
                <c:pt idx="1">
                  <c:v>30</c:v>
                </c:pt>
                <c:pt idx="2">
                  <c:v>48</c:v>
                </c:pt>
                <c:pt idx="3">
                  <c:v>120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DB-4260-8611-FF5CB37E7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397063"/>
        <c:axId val="1916360199"/>
      </c:barChart>
      <c:catAx>
        <c:axId val="1916397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60199"/>
        <c:crosses val="autoZero"/>
        <c:auto val="1"/>
        <c:lblAlgn val="ctr"/>
        <c:lblOffset val="100"/>
        <c:noMultiLvlLbl val="0"/>
      </c:catAx>
      <c:valAx>
        <c:axId val="1916360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9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11.xlsx]Employee Attendance!PivotTable3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Attendance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 Attendance'!$B$3</c:f>
              <c:strCache>
                <c:ptCount val="1"/>
                <c:pt idx="0">
                  <c:v>Average of Attendance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Attendance'!$A$4:$A$14</c:f>
              <c:strCache>
                <c:ptCount val="10"/>
                <c:pt idx="0">
                  <c:v>Amit Sharma</c:v>
                </c:pt>
                <c:pt idx="1">
                  <c:v>Anjali Patil</c:v>
                </c:pt>
                <c:pt idx="2">
                  <c:v>Neha Joshi</c:v>
                </c:pt>
                <c:pt idx="3">
                  <c:v>Pooja Shinde</c:v>
                </c:pt>
                <c:pt idx="4">
                  <c:v>Priya Patil</c:v>
                </c:pt>
                <c:pt idx="5">
                  <c:v>Rahul Jadhav</c:v>
                </c:pt>
                <c:pt idx="6">
                  <c:v>Rohan More</c:v>
                </c:pt>
                <c:pt idx="7">
                  <c:v>Sagar Deshmukh</c:v>
                </c:pt>
                <c:pt idx="8">
                  <c:v>Sneha Kulkarni</c:v>
                </c:pt>
                <c:pt idx="9">
                  <c:v>Vikas Pawar</c:v>
                </c:pt>
              </c:strCache>
            </c:strRef>
          </c:cat>
          <c:val>
            <c:numRef>
              <c:f>'Employee Attendance'!$B$4:$B$14</c:f>
              <c:numCache>
                <c:formatCode>0%</c:formatCode>
                <c:ptCount val="10"/>
                <c:pt idx="0">
                  <c:v>0.94812440645773977</c:v>
                </c:pt>
                <c:pt idx="1">
                  <c:v>0.96248812915479587</c:v>
                </c:pt>
                <c:pt idx="2">
                  <c:v>0.97376543209876543</c:v>
                </c:pt>
                <c:pt idx="3">
                  <c:v>0.91061253561253563</c:v>
                </c:pt>
                <c:pt idx="4">
                  <c:v>0.97483380816714149</c:v>
                </c:pt>
                <c:pt idx="5">
                  <c:v>0.85766856600189934</c:v>
                </c:pt>
                <c:pt idx="6">
                  <c:v>0.89672364672364668</c:v>
                </c:pt>
                <c:pt idx="7">
                  <c:v>0.81861348528015199</c:v>
                </c:pt>
                <c:pt idx="8">
                  <c:v>0.98717948717948723</c:v>
                </c:pt>
                <c:pt idx="9">
                  <c:v>0.9218898385565053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4-423D-9B3B-60D91CEE9FB3}"/>
            </c:ext>
          </c:extLst>
        </c:ser>
        <c:ser>
          <c:idx val="1"/>
          <c:order val="1"/>
          <c:tx>
            <c:strRef>
              <c:f>'Employee Attendance'!$C$3</c:f>
              <c:strCache>
                <c:ptCount val="1"/>
                <c:pt idx="0">
                  <c:v>Sum of Overtime_Hours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'Employee Attendance'!$A$4:$A$14</c:f>
              <c:strCache>
                <c:ptCount val="10"/>
                <c:pt idx="0">
                  <c:v>Amit Sharma</c:v>
                </c:pt>
                <c:pt idx="1">
                  <c:v>Anjali Patil</c:v>
                </c:pt>
                <c:pt idx="2">
                  <c:v>Neha Joshi</c:v>
                </c:pt>
                <c:pt idx="3">
                  <c:v>Pooja Shinde</c:v>
                </c:pt>
                <c:pt idx="4">
                  <c:v>Priya Patil</c:v>
                </c:pt>
                <c:pt idx="5">
                  <c:v>Rahul Jadhav</c:v>
                </c:pt>
                <c:pt idx="6">
                  <c:v>Rohan More</c:v>
                </c:pt>
                <c:pt idx="7">
                  <c:v>Sagar Deshmukh</c:v>
                </c:pt>
                <c:pt idx="8">
                  <c:v>Sneha Kulkarni</c:v>
                </c:pt>
                <c:pt idx="9">
                  <c:v>Vikas Pawar</c:v>
                </c:pt>
              </c:strCache>
            </c:strRef>
          </c:cat>
          <c:val>
            <c:numRef>
              <c:f>'Employee Attendance'!$C$4:$C$14</c:f>
              <c:numCache>
                <c:formatCode>General</c:formatCode>
                <c:ptCount val="10"/>
                <c:pt idx="0">
                  <c:v>30</c:v>
                </c:pt>
                <c:pt idx="1">
                  <c:v>18</c:v>
                </c:pt>
                <c:pt idx="2">
                  <c:v>21</c:v>
                </c:pt>
                <c:pt idx="3">
                  <c:v>15</c:v>
                </c:pt>
                <c:pt idx="4">
                  <c:v>15</c:v>
                </c:pt>
                <c:pt idx="5">
                  <c:v>41</c:v>
                </c:pt>
                <c:pt idx="6">
                  <c:v>36</c:v>
                </c:pt>
                <c:pt idx="7">
                  <c:v>54</c:v>
                </c:pt>
                <c:pt idx="8">
                  <c:v>48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4-423D-9B3B-60D91CEE9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7323143"/>
        <c:axId val="1807325191"/>
      </c:barChart>
      <c:catAx>
        <c:axId val="1807323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25191"/>
        <c:crosses val="autoZero"/>
        <c:auto val="1"/>
        <c:lblAlgn val="ctr"/>
        <c:lblOffset val="100"/>
        <c:noMultiLvlLbl val="0"/>
      </c:catAx>
      <c:valAx>
        <c:axId val="1807325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2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11.xlsx]Monthly Overtime!PivotTable4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Overtime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Overtime'!$B$3</c:f>
              <c:strCache>
                <c:ptCount val="1"/>
                <c:pt idx="0">
                  <c:v>Sum of Overtime_Hours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Overtime'!$A$4:$A$7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Overtime'!$B$4:$B$7</c:f>
              <c:numCache>
                <c:formatCode>General</c:formatCode>
                <c:ptCount val="3"/>
                <c:pt idx="0">
                  <c:v>87</c:v>
                </c:pt>
                <c:pt idx="1">
                  <c:v>104</c:v>
                </c:pt>
                <c:pt idx="2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E-4391-9153-5C1BF9FEBA44}"/>
            </c:ext>
          </c:extLst>
        </c:ser>
        <c:ser>
          <c:idx val="1"/>
          <c:order val="1"/>
          <c:tx>
            <c:strRef>
              <c:f>'Monthly Overtime'!$C$3</c:f>
              <c:strCache>
                <c:ptCount val="1"/>
                <c:pt idx="0">
                  <c:v>Sum of Overtime_Pay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Overtime'!$A$4:$A$7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Overtime'!$C$4:$C$7</c:f>
              <c:numCache>
                <c:formatCode>General</c:formatCode>
                <c:ptCount val="3"/>
                <c:pt idx="0">
                  <c:v>17400</c:v>
                </c:pt>
                <c:pt idx="1">
                  <c:v>20800</c:v>
                </c:pt>
                <c:pt idx="2">
                  <c:v>23200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E-4391-9153-5C1BF9FEB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184071"/>
        <c:axId val="1764186119"/>
      </c:barChart>
      <c:catAx>
        <c:axId val="176418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86119"/>
        <c:crosses val="autoZero"/>
        <c:auto val="1"/>
        <c:lblAlgn val="ctr"/>
        <c:lblOffset val="100"/>
        <c:noMultiLvlLbl val="0"/>
      </c:catAx>
      <c:valAx>
        <c:axId val="176418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8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11.xlsx]Monthly Overtime!PivotTable4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Overtime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Overtime'!$B$3</c:f>
              <c:strCache>
                <c:ptCount val="1"/>
                <c:pt idx="0">
                  <c:v>Sum of Overtime_Hours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Overtime'!$A$4:$A$7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Overtime'!$B$4:$B$7</c:f>
              <c:numCache>
                <c:formatCode>General</c:formatCode>
                <c:ptCount val="3"/>
                <c:pt idx="0">
                  <c:v>87</c:v>
                </c:pt>
                <c:pt idx="1">
                  <c:v>104</c:v>
                </c:pt>
                <c:pt idx="2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A-46C5-80CC-443977C72D1A}"/>
            </c:ext>
          </c:extLst>
        </c:ser>
        <c:ser>
          <c:idx val="1"/>
          <c:order val="1"/>
          <c:tx>
            <c:strRef>
              <c:f>'Monthly Overtime'!$C$3</c:f>
              <c:strCache>
                <c:ptCount val="1"/>
                <c:pt idx="0">
                  <c:v>Sum of Overtime_Pay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Overtime'!$A$4:$A$7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Overtime'!$C$4:$C$7</c:f>
              <c:numCache>
                <c:formatCode>General</c:formatCode>
                <c:ptCount val="3"/>
                <c:pt idx="0">
                  <c:v>17400</c:v>
                </c:pt>
                <c:pt idx="1">
                  <c:v>20800</c:v>
                </c:pt>
                <c:pt idx="2">
                  <c:v>23200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A-46C5-80CC-443977C72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184071"/>
        <c:axId val="1764186119"/>
      </c:barChart>
      <c:catAx>
        <c:axId val="176418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86119"/>
        <c:crosses val="autoZero"/>
        <c:auto val="1"/>
        <c:lblAlgn val="ctr"/>
        <c:lblOffset val="100"/>
        <c:noMultiLvlLbl val="0"/>
      </c:catAx>
      <c:valAx>
        <c:axId val="176418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8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9525</xdr:rowOff>
    </xdr:from>
    <xdr:to>
      <xdr:col>10</xdr:col>
      <xdr:colOff>390525</xdr:colOff>
      <xdr:row>16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BF7A81-57B3-3358-F6F4-EF0343FAD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2</xdr:row>
      <xdr:rowOff>28575</xdr:rowOff>
    </xdr:from>
    <xdr:to>
      <xdr:col>10</xdr:col>
      <xdr:colOff>428625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1224A-C0D3-625D-6C8D-9538F94B4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</xdr:row>
      <xdr:rowOff>152400</xdr:rowOff>
    </xdr:from>
    <xdr:to>
      <xdr:col>10</xdr:col>
      <xdr:colOff>409575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47D35-5A79-87B8-4C5E-62DE82517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695325</xdr:colOff>
      <xdr:row>19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F6A60DE-E7BD-4B8F-B8F5-1FBD6B88D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180975</xdr:rowOff>
    </xdr:from>
    <xdr:to>
      <xdr:col>13</xdr:col>
      <xdr:colOff>771525</xdr:colOff>
      <xdr:row>19</xdr:row>
      <xdr:rowOff>85725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27F309D-6F36-41E6-B5F6-01AA433975CF}"/>
            </a:ext>
            <a:ext uri="{147F2762-F138-4A5C-976F-8EAC2B608ADB}">
              <a16:predDERef xmlns:a16="http://schemas.microsoft.com/office/drawing/2014/main" pred="{DF6A60DE-E7BD-4B8F-B8F5-1FBD6B88D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9525</xdr:rowOff>
    </xdr:from>
    <xdr:to>
      <xdr:col>7</xdr:col>
      <xdr:colOff>0</xdr:colOff>
      <xdr:row>31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636EBF-24D6-4B2D-B513-3AA5E180C8DC}"/>
            </a:ext>
            <a:ext uri="{147F2762-F138-4A5C-976F-8EAC2B608ADB}">
              <a16:predDERef xmlns:a16="http://schemas.microsoft.com/office/drawing/2014/main" pred="{B27F309D-6F36-41E6-B5F6-01AA43397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20</xdr:row>
      <xdr:rowOff>28575</xdr:rowOff>
    </xdr:from>
    <xdr:to>
      <xdr:col>13</xdr:col>
      <xdr:colOff>762000</xdr:colOff>
      <xdr:row>31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EAF53C-23CB-4E07-9A69-95CFEBECAD35}"/>
            </a:ext>
            <a:ext uri="{147F2762-F138-4A5C-976F-8EAC2B608ADB}">
              <a16:predDERef xmlns:a16="http://schemas.microsoft.com/office/drawing/2014/main" pred="{04636EBF-24D6-4B2D-B513-3AA5E180C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28575</xdr:rowOff>
    </xdr:from>
    <xdr:to>
      <xdr:col>10</xdr:col>
      <xdr:colOff>342900</xdr:colOff>
      <xdr:row>16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13A8D9-192D-26E1-C5A4-96ED4B397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9.666578124998" createdVersion="8" refreshedVersion="8" minRefreshableVersion="3" recordCount="30" xr:uid="{67EA09CD-8399-4EC9-BA4C-59A3CC952FFD}">
  <cacheSource type="worksheet">
    <worksheetSource ref="A1:M31" sheet="Employee Data"/>
  </cacheSource>
  <cacheFields count="13">
    <cacheField name="Employee_ID" numFmtId="0">
      <sharedItems/>
    </cacheField>
    <cacheField name="Employee_Name" numFmtId="0">
      <sharedItems count="10">
        <s v="Amit Sharma"/>
        <s v="Priya Patil"/>
        <s v="Rahul Jadhav"/>
        <s v="Neha Joshi"/>
        <s v="Rohan More"/>
        <s v="Sneha Kulkarni"/>
        <s v="Vikas Pawar"/>
        <s v="Pooja Shinde"/>
        <s v="Sagar Deshmukh"/>
        <s v="Anjali Patil"/>
      </sharedItems>
    </cacheField>
    <cacheField name="Department" numFmtId="0">
      <sharedItems count="5">
        <s v="Production"/>
        <s v="HR"/>
        <s v="Sales"/>
        <s v="Finance"/>
        <s v="IT"/>
      </sharedItems>
    </cacheField>
    <cacheField name="Month" numFmtId="0">
      <sharedItems count="3">
        <s v="Jan"/>
        <s v="Feb"/>
        <s v="Mar"/>
      </sharedItems>
    </cacheField>
    <cacheField name="Working_Days" numFmtId="0">
      <sharedItems containsSemiMixedTypes="0" containsString="0" containsNumber="1" containsInteger="1" minValue="24" maxValue="27"/>
    </cacheField>
    <cacheField name="Present_Days" numFmtId="0">
      <sharedItems containsSemiMixedTypes="0" containsString="0" containsNumber="1" containsInteger="1" minValue="20" maxValue="27"/>
    </cacheField>
    <cacheField name="Leave_Days" numFmtId="0">
      <sharedItems containsSemiMixedTypes="0" containsString="0" containsNumber="1" containsInteger="1" minValue="0" maxValue="5"/>
    </cacheField>
    <cacheField name="Overtime_Hours" numFmtId="0">
      <sharedItems containsSemiMixedTypes="0" containsString="0" containsNumber="1" containsInteger="1" minValue="4" maxValue="20"/>
    </cacheField>
    <cacheField name="Basic_Salary" numFmtId="0">
      <sharedItems containsSemiMixedTypes="0" containsString="0" containsNumber="1" containsInteger="1" minValue="26000" maxValue="40000"/>
    </cacheField>
    <cacheField name="Overtime_Pay" numFmtId="0">
      <sharedItems containsSemiMixedTypes="0" containsString="0" containsNumber="1" containsInteger="1" minValue="800" maxValue="4000"/>
    </cacheField>
    <cacheField name="Attendance %" numFmtId="9">
      <sharedItems containsSemiMixedTypes="0" containsString="0" containsNumber="1" minValue="0.80769230769230771" maxValue="1"/>
    </cacheField>
    <cacheField name="Total Salary" numFmtId="164">
      <sharedItems containsSemiMixedTypes="0" containsString="0" containsNumber="1" containsInteger="1" minValue="29000" maxValue="43600"/>
    </cacheField>
    <cacheField name="Salary per Working Day" numFmtId="164">
      <sharedItems containsSemiMixedTypes="0" containsString="0" containsNumber="1" minValue="1103.7037037037037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E001"/>
    <x v="0"/>
    <x v="0"/>
    <x v="0"/>
    <n v="26"/>
    <n v="24"/>
    <n v="2"/>
    <n v="8"/>
    <n v="28000"/>
    <n v="1600"/>
    <n v="0.92307692307692313"/>
    <n v="29600"/>
    <n v="1138.4615384615386"/>
  </r>
  <r>
    <s v="E002"/>
    <x v="1"/>
    <x v="1"/>
    <x v="0"/>
    <n v="26"/>
    <n v="25"/>
    <n v="1"/>
    <n v="4"/>
    <n v="30000"/>
    <n v="800"/>
    <n v="0.96153846153846156"/>
    <n v="30800"/>
    <n v="1184.6153846153845"/>
  </r>
  <r>
    <s v="E003"/>
    <x v="2"/>
    <x v="2"/>
    <x v="0"/>
    <n v="26"/>
    <n v="22"/>
    <n v="4"/>
    <n v="12"/>
    <n v="32000"/>
    <n v="2400"/>
    <n v="0.84615384615384615"/>
    <n v="34400"/>
    <n v="1323.0769230769231"/>
  </r>
  <r>
    <s v="E004"/>
    <x v="3"/>
    <x v="3"/>
    <x v="0"/>
    <n v="26"/>
    <n v="26"/>
    <n v="0"/>
    <n v="6"/>
    <n v="35000"/>
    <n v="1200"/>
    <n v="1"/>
    <n v="36200"/>
    <n v="1392.3076923076924"/>
  </r>
  <r>
    <s v="E005"/>
    <x v="4"/>
    <x v="0"/>
    <x v="0"/>
    <n v="26"/>
    <n v="23"/>
    <n v="3"/>
    <n v="10"/>
    <n v="27000"/>
    <n v="2000"/>
    <n v="0.88461538461538458"/>
    <n v="29000"/>
    <n v="1115.3846153846155"/>
  </r>
  <r>
    <s v="E006"/>
    <x v="5"/>
    <x v="4"/>
    <x v="0"/>
    <n v="26"/>
    <n v="25"/>
    <n v="1"/>
    <n v="14"/>
    <n v="40000"/>
    <n v="2800"/>
    <n v="0.96153846153846156"/>
    <n v="42800"/>
    <n v="1646.1538461538462"/>
  </r>
  <r>
    <s v="E007"/>
    <x v="6"/>
    <x v="2"/>
    <x v="0"/>
    <n v="26"/>
    <n v="24"/>
    <n v="2"/>
    <n v="8"/>
    <n v="31000"/>
    <n v="1600"/>
    <n v="0.92307692307692313"/>
    <n v="32600"/>
    <n v="1253.8461538461538"/>
  </r>
  <r>
    <s v="E008"/>
    <x v="7"/>
    <x v="1"/>
    <x v="0"/>
    <n v="26"/>
    <n v="23"/>
    <n v="3"/>
    <n v="5"/>
    <n v="29000"/>
    <n v="1000"/>
    <n v="0.88461538461538458"/>
    <n v="30000"/>
    <n v="1153.8461538461538"/>
  </r>
  <r>
    <s v="E009"/>
    <x v="8"/>
    <x v="0"/>
    <x v="0"/>
    <n v="26"/>
    <n v="21"/>
    <n v="5"/>
    <n v="16"/>
    <n v="26000"/>
    <n v="3200"/>
    <n v="0.80769230769230771"/>
    <n v="29200"/>
    <n v="1123.0769230769231"/>
  </r>
  <r>
    <s v="E010"/>
    <x v="9"/>
    <x v="3"/>
    <x v="0"/>
    <n v="26"/>
    <n v="25"/>
    <n v="1"/>
    <n v="4"/>
    <n v="34000"/>
    <n v="800"/>
    <n v="0.96153846153846156"/>
    <n v="34800"/>
    <n v="1338.4615384615386"/>
  </r>
  <r>
    <s v="E001"/>
    <x v="0"/>
    <x v="0"/>
    <x v="1"/>
    <n v="24"/>
    <n v="23"/>
    <n v="1"/>
    <n v="10"/>
    <n v="28000"/>
    <n v="2000"/>
    <n v="0.95833333333333337"/>
    <n v="30000"/>
    <n v="1250"/>
  </r>
  <r>
    <s v="E002"/>
    <x v="1"/>
    <x v="1"/>
    <x v="1"/>
    <n v="24"/>
    <n v="24"/>
    <n v="0"/>
    <n v="6"/>
    <n v="30000"/>
    <n v="1200"/>
    <n v="1"/>
    <n v="31200"/>
    <n v="1300"/>
  </r>
  <r>
    <s v="E003"/>
    <x v="2"/>
    <x v="2"/>
    <x v="1"/>
    <n v="24"/>
    <n v="21"/>
    <n v="3"/>
    <n v="14"/>
    <n v="32000"/>
    <n v="2800"/>
    <n v="0.875"/>
    <n v="34800"/>
    <n v="1450"/>
  </r>
  <r>
    <s v="E004"/>
    <x v="3"/>
    <x v="3"/>
    <x v="1"/>
    <n v="24"/>
    <n v="23"/>
    <n v="1"/>
    <n v="8"/>
    <n v="35000"/>
    <n v="1600"/>
    <n v="0.95833333333333337"/>
    <n v="36600"/>
    <n v="1525"/>
  </r>
  <r>
    <s v="E005"/>
    <x v="4"/>
    <x v="0"/>
    <x v="1"/>
    <n v="24"/>
    <n v="22"/>
    <n v="2"/>
    <n v="12"/>
    <n v="27000"/>
    <n v="2400"/>
    <n v="0.91666666666666663"/>
    <n v="29400"/>
    <n v="1225"/>
  </r>
  <r>
    <s v="E006"/>
    <x v="5"/>
    <x v="4"/>
    <x v="1"/>
    <n v="24"/>
    <n v="24"/>
    <n v="0"/>
    <n v="16"/>
    <n v="40000"/>
    <n v="3200"/>
    <n v="1"/>
    <n v="43200"/>
    <n v="1800"/>
  </r>
  <r>
    <s v="E007"/>
    <x v="6"/>
    <x v="2"/>
    <x v="1"/>
    <n v="24"/>
    <n v="22"/>
    <n v="2"/>
    <n v="10"/>
    <n v="31000"/>
    <n v="2000"/>
    <n v="0.91666666666666663"/>
    <n v="33000"/>
    <n v="1375"/>
  </r>
  <r>
    <s v="E008"/>
    <x v="7"/>
    <x v="1"/>
    <x v="1"/>
    <n v="24"/>
    <n v="23"/>
    <n v="1"/>
    <n v="4"/>
    <n v="29000"/>
    <n v="800"/>
    <n v="0.95833333333333337"/>
    <n v="29800"/>
    <n v="1241.6666666666667"/>
  </r>
  <r>
    <s v="E009"/>
    <x v="8"/>
    <x v="0"/>
    <x v="1"/>
    <n v="24"/>
    <n v="20"/>
    <n v="4"/>
    <n v="18"/>
    <n v="26000"/>
    <n v="3600"/>
    <n v="0.83333333333333337"/>
    <n v="29600"/>
    <n v="1233.3333333333333"/>
  </r>
  <r>
    <s v="E010"/>
    <x v="9"/>
    <x v="3"/>
    <x v="1"/>
    <n v="24"/>
    <n v="24"/>
    <n v="0"/>
    <n v="6"/>
    <n v="34000"/>
    <n v="1200"/>
    <n v="1"/>
    <n v="35200"/>
    <n v="1466.6666666666667"/>
  </r>
  <r>
    <s v="E001"/>
    <x v="0"/>
    <x v="0"/>
    <x v="2"/>
    <n v="27"/>
    <n v="26"/>
    <n v="1"/>
    <n v="12"/>
    <n v="28000"/>
    <n v="2400"/>
    <n v="0.96296296296296291"/>
    <n v="30400"/>
    <n v="1125.9259259259259"/>
  </r>
  <r>
    <s v="E002"/>
    <x v="1"/>
    <x v="1"/>
    <x v="2"/>
    <n v="27"/>
    <n v="26"/>
    <n v="1"/>
    <n v="5"/>
    <n v="30000"/>
    <n v="1000"/>
    <n v="0.96296296296296291"/>
    <n v="31000"/>
    <n v="1148.148148148148"/>
  </r>
  <r>
    <s v="E003"/>
    <x v="2"/>
    <x v="2"/>
    <x v="2"/>
    <n v="27"/>
    <n v="23"/>
    <n v="4"/>
    <n v="15"/>
    <n v="32000"/>
    <n v="3000"/>
    <n v="0.85185185185185186"/>
    <n v="35000"/>
    <n v="1296.2962962962963"/>
  </r>
  <r>
    <s v="E004"/>
    <x v="3"/>
    <x v="3"/>
    <x v="2"/>
    <n v="27"/>
    <n v="26"/>
    <n v="1"/>
    <n v="7"/>
    <n v="35000"/>
    <n v="1400"/>
    <n v="0.96296296296296291"/>
    <n v="36400"/>
    <n v="1348.148148148148"/>
  </r>
  <r>
    <s v="E005"/>
    <x v="4"/>
    <x v="0"/>
    <x v="2"/>
    <n v="27"/>
    <n v="24"/>
    <n v="3"/>
    <n v="14"/>
    <n v="27000"/>
    <n v="2800"/>
    <n v="0.88888888888888884"/>
    <n v="29800"/>
    <n v="1103.7037037037037"/>
  </r>
  <r>
    <s v="E006"/>
    <x v="5"/>
    <x v="4"/>
    <x v="2"/>
    <n v="27"/>
    <n v="27"/>
    <n v="0"/>
    <n v="18"/>
    <n v="40000"/>
    <n v="3600"/>
    <n v="1"/>
    <n v="43600"/>
    <n v="1614.8148148148148"/>
  </r>
  <r>
    <s v="E007"/>
    <x v="6"/>
    <x v="2"/>
    <x v="2"/>
    <n v="27"/>
    <n v="25"/>
    <n v="2"/>
    <n v="11"/>
    <n v="31000"/>
    <n v="2200"/>
    <n v="0.92592592592592593"/>
    <n v="33200"/>
    <n v="1229.6296296296296"/>
  </r>
  <r>
    <s v="E008"/>
    <x v="7"/>
    <x v="1"/>
    <x v="2"/>
    <n v="27"/>
    <n v="24"/>
    <n v="3"/>
    <n v="6"/>
    <n v="29000"/>
    <n v="1200"/>
    <n v="0.88888888888888884"/>
    <n v="30200"/>
    <n v="1118.5185185185185"/>
  </r>
  <r>
    <s v="E009"/>
    <x v="8"/>
    <x v="0"/>
    <x v="2"/>
    <n v="27"/>
    <n v="22"/>
    <n v="5"/>
    <n v="20"/>
    <n v="26000"/>
    <n v="4000"/>
    <n v="0.81481481481481477"/>
    <n v="30000"/>
    <n v="1111.1111111111111"/>
  </r>
  <r>
    <s v="E010"/>
    <x v="9"/>
    <x v="3"/>
    <x v="2"/>
    <n v="27"/>
    <n v="25"/>
    <n v="2"/>
    <n v="8"/>
    <n v="34000"/>
    <n v="1600"/>
    <n v="0.92592592592592593"/>
    <n v="35600"/>
    <n v="1318.5185185185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96FAD-07B4-486D-9BF9-9FE33BC803DF}" name="PivotTable1" cacheId="1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C9" firstHeaderRow="0" firstDataRow="1" firstDataCol="1"/>
  <pivotFields count="13">
    <pivotField compact="0" outline="0" showAll="0"/>
    <pivotField compact="0" outline="0" showAll="0"/>
    <pivotField axis="axisRow" compact="0" outline="0" showAll="0">
      <items count="6">
        <item x="3"/>
        <item x="1"/>
        <item x="4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164" outline="0" showAll="0"/>
    <pivotField compact="0" numFmtId="164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sent_Days" fld="5" baseField="0" baseItem="0"/>
    <dataField name="Sum of Leave_Days" fld="6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E78DC-EBEA-476B-9301-9F03717165B8}" name="PivotTable2" cacheId="1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9" firstHeaderRow="0" firstDataRow="1" firstDataCol="1"/>
  <pivotFields count="13">
    <pivotField compact="0" outline="0" showAll="0"/>
    <pivotField compact="0" outline="0" showAll="0"/>
    <pivotField axis="axisRow" compact="0" outline="0" showAll="0">
      <items count="6">
        <item x="3"/>
        <item x="1"/>
        <item x="4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dataField="1" compact="0" numFmtId="164" outline="0" showAll="0"/>
    <pivotField compact="0" numFmtId="164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ary" fld="11" baseField="0" baseItem="0" numFmtId="164"/>
    <dataField name="Sum of Overtime_Hours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4CDA6-4315-461B-B427-6B45F17286F2}" name="PivotTable3" cacheId="1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4" firstHeaderRow="0" firstDataRow="1" firstDataCol="1"/>
  <pivotFields count="13">
    <pivotField compact="0" outline="0" showAll="0"/>
    <pivotField axis="axisRow" compact="0" outline="0" showAll="0">
      <items count="11">
        <item x="0"/>
        <item x="9"/>
        <item x="3"/>
        <item x="7"/>
        <item x="1"/>
        <item x="2"/>
        <item x="4"/>
        <item x="8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numFmtId="9" outline="0" showAll="0"/>
    <pivotField compact="0" numFmtId="164" outline="0" showAll="0"/>
    <pivotField compact="0" numFmtId="164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endance %" fld="10" subtotal="average" baseField="0" baseItem="0" numFmtId="9"/>
    <dataField name="Sum of Overtime_Hours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EE05B-B14E-4AB8-8EBA-40E216A58EA0}" name="PivotTable4" cacheId="1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C7" firstHeaderRow="0" firstDataRow="1" firstDataCol="1"/>
  <pivotFields count="13"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9" outline="0" showAll="0"/>
    <pivotField compact="0" numFmtId="164" outline="0" showAll="0"/>
    <pivotField compact="0" numFmtId="164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vertime_Hours" fld="7" baseField="0" baseItem="0"/>
    <dataField name="Sum of Overtime_Pay" fld="9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D3C35-27E1-4184-BDE8-35CC945DBEBF}" name="PivotTable5" cacheId="1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13"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dataField="1" compact="0" numFmtId="164" outline="0" showAll="0"/>
    <pivotField compact="0" numFmtId="164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ary" fld="11" baseField="0" baseItem="0" numFmtId="164"/>
    <dataField name="Sum of Basic_Salary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B1ED-E0FE-4AD5-BDD7-F0EBB65646DF}">
  <sheetPr>
    <tabColor theme="5" tint="0.59999389629810485"/>
  </sheetPr>
  <dimension ref="A3:C9"/>
  <sheetViews>
    <sheetView workbookViewId="0">
      <selection activeCell="L10" sqref="L10"/>
    </sheetView>
  </sheetViews>
  <sheetFormatPr defaultRowHeight="15"/>
  <cols>
    <col min="1" max="1" width="15.140625" bestFit="1" customWidth="1"/>
    <col min="2" max="2" width="20.28515625" bestFit="1" customWidth="1"/>
    <col min="3" max="3" width="18.5703125" bestFit="1" customWidth="1"/>
  </cols>
  <sheetData>
    <row r="3" spans="1:3">
      <c r="A3" s="12" t="s">
        <v>0</v>
      </c>
      <c r="B3" t="s">
        <v>1</v>
      </c>
      <c r="C3" t="s">
        <v>2</v>
      </c>
    </row>
    <row r="4" spans="1:3">
      <c r="A4" t="s">
        <v>3</v>
      </c>
      <c r="B4" s="13">
        <v>149</v>
      </c>
      <c r="C4" s="13">
        <v>5</v>
      </c>
    </row>
    <row r="5" spans="1:3">
      <c r="A5" t="s">
        <v>4</v>
      </c>
      <c r="B5" s="13">
        <v>145</v>
      </c>
      <c r="C5" s="13">
        <v>9</v>
      </c>
    </row>
    <row r="6" spans="1:3">
      <c r="A6" t="s">
        <v>5</v>
      </c>
      <c r="B6" s="13">
        <v>76</v>
      </c>
      <c r="C6" s="13">
        <v>1</v>
      </c>
    </row>
    <row r="7" spans="1:3">
      <c r="A7" t="s">
        <v>6</v>
      </c>
      <c r="B7" s="13">
        <v>205</v>
      </c>
      <c r="C7" s="13">
        <v>26</v>
      </c>
    </row>
    <row r="8" spans="1:3">
      <c r="A8" t="s">
        <v>7</v>
      </c>
      <c r="B8" s="13">
        <v>137</v>
      </c>
      <c r="C8" s="13">
        <v>17</v>
      </c>
    </row>
    <row r="9" spans="1:3">
      <c r="A9" t="s">
        <v>8</v>
      </c>
      <c r="B9" s="13">
        <v>712</v>
      </c>
      <c r="C9" s="13">
        <v>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82C3-2BB9-44D3-BF63-FC005DF13C14}">
  <sheetPr>
    <tabColor theme="9" tint="0.59999389629810485"/>
  </sheetPr>
  <dimension ref="A3:C9"/>
  <sheetViews>
    <sheetView workbookViewId="0">
      <selection activeCell="A3" sqref="A3:B8"/>
    </sheetView>
  </sheetViews>
  <sheetFormatPr defaultRowHeight="15"/>
  <cols>
    <col min="1" max="1" width="15.140625" bestFit="1" customWidth="1"/>
    <col min="2" max="2" width="18.5703125" bestFit="1" customWidth="1"/>
    <col min="3" max="3" width="23" bestFit="1" customWidth="1"/>
  </cols>
  <sheetData>
    <row r="3" spans="1:3">
      <c r="A3" s="12" t="s">
        <v>0</v>
      </c>
      <c r="B3" t="s">
        <v>9</v>
      </c>
      <c r="C3" t="s">
        <v>10</v>
      </c>
    </row>
    <row r="4" spans="1:3">
      <c r="A4" t="s">
        <v>3</v>
      </c>
      <c r="B4" s="2">
        <v>214800</v>
      </c>
      <c r="C4" s="13">
        <v>39</v>
      </c>
    </row>
    <row r="5" spans="1:3">
      <c r="A5" t="s">
        <v>4</v>
      </c>
      <c r="B5" s="2">
        <v>183000</v>
      </c>
      <c r="C5" s="13">
        <v>30</v>
      </c>
    </row>
    <row r="6" spans="1:3">
      <c r="A6" t="s">
        <v>5</v>
      </c>
      <c r="B6" s="2">
        <v>129600</v>
      </c>
      <c r="C6" s="13">
        <v>48</v>
      </c>
    </row>
    <row r="7" spans="1:3">
      <c r="A7" t="s">
        <v>6</v>
      </c>
      <c r="B7" s="2">
        <v>267000</v>
      </c>
      <c r="C7" s="13">
        <v>120</v>
      </c>
    </row>
    <row r="8" spans="1:3">
      <c r="A8" t="s">
        <v>7</v>
      </c>
      <c r="B8" s="2">
        <v>203000</v>
      </c>
      <c r="C8" s="13">
        <v>70</v>
      </c>
    </row>
    <row r="9" spans="1:3">
      <c r="A9" t="s">
        <v>8</v>
      </c>
      <c r="B9" s="2">
        <v>997400</v>
      </c>
      <c r="C9" s="13">
        <v>307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127F-AC25-440D-BF94-1551DA1257AD}">
  <sheetPr>
    <tabColor theme="7" tint="0.59999389629810485"/>
  </sheetPr>
  <dimension ref="A3:C14"/>
  <sheetViews>
    <sheetView workbookViewId="0">
      <selection activeCell="A3" sqref="A3:B13"/>
    </sheetView>
  </sheetViews>
  <sheetFormatPr defaultRowHeight="15"/>
  <cols>
    <col min="1" max="1" width="19.5703125" bestFit="1" customWidth="1"/>
    <col min="2" max="2" width="24" bestFit="1" customWidth="1"/>
    <col min="3" max="3" width="23" bestFit="1" customWidth="1"/>
  </cols>
  <sheetData>
    <row r="3" spans="1:3">
      <c r="A3" s="12" t="s">
        <v>11</v>
      </c>
      <c r="B3" t="s">
        <v>12</v>
      </c>
      <c r="C3" t="s">
        <v>10</v>
      </c>
    </row>
    <row r="4" spans="1:3">
      <c r="A4" t="s">
        <v>13</v>
      </c>
      <c r="B4" s="1">
        <v>0.94812440645773977</v>
      </c>
      <c r="C4" s="13">
        <v>30</v>
      </c>
    </row>
    <row r="5" spans="1:3">
      <c r="A5" t="s">
        <v>14</v>
      </c>
      <c r="B5" s="1">
        <v>0.96248812915479587</v>
      </c>
      <c r="C5" s="13">
        <v>18</v>
      </c>
    </row>
    <row r="6" spans="1:3">
      <c r="A6" t="s">
        <v>15</v>
      </c>
      <c r="B6" s="1">
        <v>0.97376543209876543</v>
      </c>
      <c r="C6" s="13">
        <v>21</v>
      </c>
    </row>
    <row r="7" spans="1:3">
      <c r="A7" t="s">
        <v>16</v>
      </c>
      <c r="B7" s="1">
        <v>0.91061253561253563</v>
      </c>
      <c r="C7" s="13">
        <v>15</v>
      </c>
    </row>
    <row r="8" spans="1:3">
      <c r="A8" t="s">
        <v>17</v>
      </c>
      <c r="B8" s="1">
        <v>0.97483380816714149</v>
      </c>
      <c r="C8" s="13">
        <v>15</v>
      </c>
    </row>
    <row r="9" spans="1:3">
      <c r="A9" t="s">
        <v>18</v>
      </c>
      <c r="B9" s="1">
        <v>0.85766856600189934</v>
      </c>
      <c r="C9" s="13">
        <v>41</v>
      </c>
    </row>
    <row r="10" spans="1:3">
      <c r="A10" t="s">
        <v>19</v>
      </c>
      <c r="B10" s="1">
        <v>0.89672364672364668</v>
      </c>
      <c r="C10" s="13">
        <v>36</v>
      </c>
    </row>
    <row r="11" spans="1:3">
      <c r="A11" t="s">
        <v>20</v>
      </c>
      <c r="B11" s="1">
        <v>0.81861348528015199</v>
      </c>
      <c r="C11" s="13">
        <v>54</v>
      </c>
    </row>
    <row r="12" spans="1:3">
      <c r="A12" t="s">
        <v>21</v>
      </c>
      <c r="B12" s="1">
        <v>0.98717948717948723</v>
      </c>
      <c r="C12" s="13">
        <v>48</v>
      </c>
    </row>
    <row r="13" spans="1:3">
      <c r="A13" t="s">
        <v>22</v>
      </c>
      <c r="B13" s="1">
        <v>0.9218898385565053</v>
      </c>
      <c r="C13" s="13">
        <v>29</v>
      </c>
    </row>
    <row r="14" spans="1:3">
      <c r="A14" t="s">
        <v>8</v>
      </c>
      <c r="B14" s="1">
        <v>0.92518993352326684</v>
      </c>
      <c r="C14" s="13">
        <v>307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BF78-8ADD-4393-987D-9EAC03E1A19D}">
  <dimension ref="A1:N6"/>
  <sheetViews>
    <sheetView tabSelected="1" workbookViewId="0">
      <selection activeCell="K23" sqref="K23"/>
    </sheetView>
  </sheetViews>
  <sheetFormatPr defaultRowHeight="15"/>
  <cols>
    <col min="7" max="8" width="10.5703125" customWidth="1"/>
    <col min="11" max="11" width="16.85546875" customWidth="1"/>
    <col min="13" max="13" width="11.42578125" customWidth="1"/>
    <col min="14" max="14" width="11.7109375" customWidth="1"/>
  </cols>
  <sheetData>
    <row r="1" spans="1:14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>
      <c r="A4" s="15" t="s">
        <v>25</v>
      </c>
      <c r="B4" s="15"/>
      <c r="D4" s="15" t="s">
        <v>26</v>
      </c>
      <c r="E4" s="15"/>
      <c r="G4" s="17" t="s">
        <v>27</v>
      </c>
      <c r="H4" s="15"/>
      <c r="J4" s="15" t="s">
        <v>28</v>
      </c>
      <c r="K4" s="15"/>
      <c r="M4" s="15" t="s">
        <v>29</v>
      </c>
      <c r="N4" s="15"/>
    </row>
    <row r="5" spans="1:14">
      <c r="A5" s="15">
        <f>COUNTA('Employee Data'!A2:A31)/3</f>
        <v>10</v>
      </c>
      <c r="B5" s="15"/>
      <c r="D5" s="16">
        <f>SUM('Employee Data'!L2:L31)</f>
        <v>997400</v>
      </c>
      <c r="E5" s="16"/>
      <c r="G5" s="18">
        <f>AVERAGE('Employee Data'!K2:K31)</f>
        <v>0.92518993352326684</v>
      </c>
      <c r="H5" s="15"/>
      <c r="J5" s="15">
        <f>SUM('Employee Data'!H2:H31)</f>
        <v>307</v>
      </c>
      <c r="K5" s="15"/>
      <c r="M5" s="16">
        <f>SUM('Employee Data'!J2:J31)</f>
        <v>61400</v>
      </c>
      <c r="N5" s="16"/>
    </row>
    <row r="6" spans="1:14">
      <c r="A6" s="15"/>
      <c r="B6" s="15"/>
      <c r="D6" s="16"/>
      <c r="E6" s="16"/>
      <c r="G6" s="15"/>
      <c r="H6" s="15"/>
      <c r="J6" s="15"/>
      <c r="K6" s="15"/>
      <c r="M6" s="16"/>
      <c r="N6" s="16"/>
    </row>
  </sheetData>
  <mergeCells count="12">
    <mergeCell ref="G4:H4"/>
    <mergeCell ref="G5:H6"/>
    <mergeCell ref="J4:K4"/>
    <mergeCell ref="J5:K6"/>
    <mergeCell ref="M4:N4"/>
    <mergeCell ref="M5:N6"/>
    <mergeCell ref="A4:B4"/>
    <mergeCell ref="A5:B6"/>
    <mergeCell ref="D4:E4"/>
    <mergeCell ref="D5:E6"/>
    <mergeCell ref="A1:N1"/>
    <mergeCell ref="A2:N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7753-BB6A-476E-87F2-BB7667314DB5}">
  <sheetPr>
    <tabColor rgb="FFFF0000"/>
  </sheetPr>
  <dimension ref="A3:C7"/>
  <sheetViews>
    <sheetView workbookViewId="0">
      <selection activeCell="A3" sqref="A3:B6"/>
    </sheetView>
  </sheetViews>
  <sheetFormatPr defaultRowHeight="15"/>
  <cols>
    <col min="1" max="1" width="11.7109375" bestFit="1" customWidth="1"/>
    <col min="2" max="2" width="23" bestFit="1" customWidth="1"/>
    <col min="3" max="3" width="20.85546875" bestFit="1" customWidth="1"/>
  </cols>
  <sheetData>
    <row r="3" spans="1:3">
      <c r="A3" s="12" t="s">
        <v>30</v>
      </c>
      <c r="B3" t="s">
        <v>10</v>
      </c>
      <c r="C3" t="s">
        <v>31</v>
      </c>
    </row>
    <row r="4" spans="1:3">
      <c r="A4" t="s">
        <v>32</v>
      </c>
      <c r="B4" s="13">
        <v>87</v>
      </c>
      <c r="C4" s="13">
        <v>17400</v>
      </c>
    </row>
    <row r="5" spans="1:3">
      <c r="A5" t="s">
        <v>33</v>
      </c>
      <c r="B5" s="13">
        <v>104</v>
      </c>
      <c r="C5" s="13">
        <v>20800</v>
      </c>
    </row>
    <row r="6" spans="1:3">
      <c r="A6" t="s">
        <v>34</v>
      </c>
      <c r="B6" s="13">
        <v>116</v>
      </c>
      <c r="C6" s="13">
        <v>23200</v>
      </c>
    </row>
    <row r="7" spans="1:3">
      <c r="A7" t="s">
        <v>8</v>
      </c>
      <c r="B7" s="13">
        <v>307</v>
      </c>
      <c r="C7" s="13">
        <v>61400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0DA7-F17C-41A8-8C3F-35F4584C0726}">
  <dimension ref="A3:C7"/>
  <sheetViews>
    <sheetView workbookViewId="0">
      <selection activeCell="A3" sqref="A3"/>
    </sheetView>
  </sheetViews>
  <sheetFormatPr defaultRowHeight="15"/>
  <cols>
    <col min="1" max="1" width="11.7109375" bestFit="1" customWidth="1"/>
    <col min="2" max="2" width="18.5703125" bestFit="1" customWidth="1"/>
    <col min="3" max="3" width="19.140625" bestFit="1" customWidth="1"/>
  </cols>
  <sheetData>
    <row r="3" spans="1:3">
      <c r="A3" s="12" t="s">
        <v>30</v>
      </c>
      <c r="B3" t="s">
        <v>9</v>
      </c>
      <c r="C3" t="s">
        <v>35</v>
      </c>
    </row>
    <row r="4" spans="1:3">
      <c r="A4" t="s">
        <v>32</v>
      </c>
      <c r="B4" s="2">
        <v>329400</v>
      </c>
      <c r="C4" s="13">
        <v>312000</v>
      </c>
    </row>
    <row r="5" spans="1:3">
      <c r="A5" t="s">
        <v>33</v>
      </c>
      <c r="B5" s="2">
        <v>332800</v>
      </c>
      <c r="C5" s="13">
        <v>312000</v>
      </c>
    </row>
    <row r="6" spans="1:3">
      <c r="A6" t="s">
        <v>34</v>
      </c>
      <c r="B6" s="2">
        <v>335200</v>
      </c>
      <c r="C6" s="13">
        <v>312000</v>
      </c>
    </row>
    <row r="7" spans="1:3">
      <c r="A7" t="s">
        <v>8</v>
      </c>
      <c r="B7" s="2">
        <v>997400</v>
      </c>
      <c r="C7" s="13">
        <v>936000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M31"/>
  <sheetViews>
    <sheetView workbookViewId="0">
      <selection activeCell="F6" sqref="F6"/>
    </sheetView>
  </sheetViews>
  <sheetFormatPr defaultRowHeight="15"/>
  <cols>
    <col min="1" max="1" width="12.7109375" bestFit="1" customWidth="1"/>
    <col min="2" max="2" width="16.140625" bestFit="1" customWidth="1"/>
    <col min="3" max="3" width="11.7109375" bestFit="1" customWidth="1"/>
    <col min="4" max="4" width="7.140625" bestFit="1" customWidth="1"/>
    <col min="5" max="5" width="13.85546875" bestFit="1" customWidth="1"/>
    <col min="6" max="6" width="13" bestFit="1" customWidth="1"/>
    <col min="7" max="7" width="11.42578125" bestFit="1" customWidth="1"/>
    <col min="8" max="8" width="15.7109375" bestFit="1" customWidth="1"/>
    <col min="9" max="9" width="11.85546875" bestFit="1" customWidth="1"/>
    <col min="10" max="10" width="13.7109375" bestFit="1" customWidth="1"/>
    <col min="11" max="11" width="13.42578125" bestFit="1" customWidth="1"/>
    <col min="12" max="12" width="11.42578125" bestFit="1" customWidth="1"/>
    <col min="13" max="13" width="21.85546875" bestFit="1" customWidth="1"/>
  </cols>
  <sheetData>
    <row r="1" spans="1:13">
      <c r="A1" s="3" t="s">
        <v>36</v>
      </c>
      <c r="B1" s="4" t="s">
        <v>11</v>
      </c>
      <c r="C1" s="4" t="s">
        <v>0</v>
      </c>
      <c r="D1" s="4" t="s">
        <v>30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5" t="s">
        <v>45</v>
      </c>
    </row>
    <row r="2" spans="1:13">
      <c r="A2" s="6" t="s">
        <v>46</v>
      </c>
      <c r="B2" s="6" t="s">
        <v>13</v>
      </c>
      <c r="C2" s="6" t="s">
        <v>6</v>
      </c>
      <c r="D2" s="6" t="s">
        <v>32</v>
      </c>
      <c r="E2" s="6">
        <v>26</v>
      </c>
      <c r="F2" s="6">
        <v>24</v>
      </c>
      <c r="G2" s="6">
        <v>2</v>
      </c>
      <c r="H2" s="6">
        <v>8</v>
      </c>
      <c r="I2" s="6">
        <v>28000</v>
      </c>
      <c r="J2" s="6">
        <v>1600</v>
      </c>
      <c r="K2" s="7">
        <f>F2/E2</f>
        <v>0.92307692307692313</v>
      </c>
      <c r="L2" s="8">
        <f>I2+J2</f>
        <v>29600</v>
      </c>
      <c r="M2" s="8">
        <f>L2/E2</f>
        <v>1138.4615384615386</v>
      </c>
    </row>
    <row r="3" spans="1:13">
      <c r="A3" s="9" t="s">
        <v>47</v>
      </c>
      <c r="B3" s="9" t="s">
        <v>17</v>
      </c>
      <c r="C3" s="9" t="s">
        <v>4</v>
      </c>
      <c r="D3" s="9" t="s">
        <v>32</v>
      </c>
      <c r="E3" s="9">
        <v>26</v>
      </c>
      <c r="F3" s="9">
        <v>25</v>
      </c>
      <c r="G3" s="9">
        <v>1</v>
      </c>
      <c r="H3" s="9">
        <v>4</v>
      </c>
      <c r="I3" s="9">
        <v>30000</v>
      </c>
      <c r="J3" s="9">
        <v>800</v>
      </c>
      <c r="K3" s="10">
        <f t="shared" ref="K3:K31" si="0">F3/E3</f>
        <v>0.96153846153846156</v>
      </c>
      <c r="L3" s="11">
        <f t="shared" ref="L3:L31" si="1">I3+J3</f>
        <v>30800</v>
      </c>
      <c r="M3" s="11">
        <f t="shared" ref="M3:M31" si="2">L3/E3</f>
        <v>1184.6153846153845</v>
      </c>
    </row>
    <row r="4" spans="1:13">
      <c r="A4" s="9" t="s">
        <v>48</v>
      </c>
      <c r="B4" s="9" t="s">
        <v>49</v>
      </c>
      <c r="C4" s="9" t="s">
        <v>7</v>
      </c>
      <c r="D4" s="9" t="s">
        <v>32</v>
      </c>
      <c r="E4" s="9">
        <v>26</v>
      </c>
      <c r="F4" s="9">
        <v>22</v>
      </c>
      <c r="G4" s="9">
        <v>4</v>
      </c>
      <c r="H4" s="9">
        <v>12</v>
      </c>
      <c r="I4" s="9">
        <v>32000</v>
      </c>
      <c r="J4" s="9">
        <v>2400</v>
      </c>
      <c r="K4" s="10">
        <f t="shared" si="0"/>
        <v>0.84615384615384615</v>
      </c>
      <c r="L4" s="11">
        <f t="shared" si="1"/>
        <v>34400</v>
      </c>
      <c r="M4" s="11">
        <f t="shared" si="2"/>
        <v>1323.0769230769231</v>
      </c>
    </row>
    <row r="5" spans="1:13">
      <c r="A5" s="9" t="s">
        <v>50</v>
      </c>
      <c r="B5" s="9" t="s">
        <v>15</v>
      </c>
      <c r="C5" s="9" t="s">
        <v>3</v>
      </c>
      <c r="D5" s="9" t="s">
        <v>32</v>
      </c>
      <c r="E5" s="9">
        <v>26</v>
      </c>
      <c r="F5" s="9">
        <v>26</v>
      </c>
      <c r="G5" s="9">
        <v>0</v>
      </c>
      <c r="H5" s="9">
        <v>6</v>
      </c>
      <c r="I5" s="9">
        <v>35000</v>
      </c>
      <c r="J5" s="9">
        <v>1200</v>
      </c>
      <c r="K5" s="10">
        <f t="shared" si="0"/>
        <v>1</v>
      </c>
      <c r="L5" s="11">
        <f t="shared" si="1"/>
        <v>36200</v>
      </c>
      <c r="M5" s="11">
        <f t="shared" si="2"/>
        <v>1392.3076923076924</v>
      </c>
    </row>
    <row r="6" spans="1:13">
      <c r="A6" s="9" t="s">
        <v>51</v>
      </c>
      <c r="B6" s="9" t="s">
        <v>19</v>
      </c>
      <c r="C6" s="9" t="s">
        <v>6</v>
      </c>
      <c r="D6" s="9" t="s">
        <v>32</v>
      </c>
      <c r="E6" s="9">
        <v>26</v>
      </c>
      <c r="F6" s="9">
        <v>23</v>
      </c>
      <c r="G6" s="9">
        <v>3</v>
      </c>
      <c r="H6" s="9">
        <v>10</v>
      </c>
      <c r="I6" s="9">
        <v>27000</v>
      </c>
      <c r="J6" s="9">
        <v>2000</v>
      </c>
      <c r="K6" s="10">
        <f t="shared" si="0"/>
        <v>0.88461538461538458</v>
      </c>
      <c r="L6" s="11">
        <f t="shared" si="1"/>
        <v>29000</v>
      </c>
      <c r="M6" s="11">
        <f t="shared" si="2"/>
        <v>1115.3846153846155</v>
      </c>
    </row>
    <row r="7" spans="1:13">
      <c r="A7" s="9" t="s">
        <v>52</v>
      </c>
      <c r="B7" s="9" t="s">
        <v>21</v>
      </c>
      <c r="C7" s="9" t="s">
        <v>5</v>
      </c>
      <c r="D7" s="9" t="s">
        <v>32</v>
      </c>
      <c r="E7" s="9">
        <v>26</v>
      </c>
      <c r="F7" s="9">
        <v>25</v>
      </c>
      <c r="G7" s="9">
        <v>1</v>
      </c>
      <c r="H7" s="9">
        <v>14</v>
      </c>
      <c r="I7" s="9">
        <v>40000</v>
      </c>
      <c r="J7" s="9">
        <v>2800</v>
      </c>
      <c r="K7" s="10">
        <f t="shared" si="0"/>
        <v>0.96153846153846156</v>
      </c>
      <c r="L7" s="11">
        <f t="shared" si="1"/>
        <v>42800</v>
      </c>
      <c r="M7" s="11">
        <f t="shared" si="2"/>
        <v>1646.1538461538462</v>
      </c>
    </row>
    <row r="8" spans="1:13">
      <c r="A8" s="9" t="s">
        <v>53</v>
      </c>
      <c r="B8" s="9" t="s">
        <v>22</v>
      </c>
      <c r="C8" s="9" t="s">
        <v>7</v>
      </c>
      <c r="D8" s="9" t="s">
        <v>32</v>
      </c>
      <c r="E8" s="9">
        <v>26</v>
      </c>
      <c r="F8" s="9">
        <v>24</v>
      </c>
      <c r="G8" s="9">
        <v>2</v>
      </c>
      <c r="H8" s="9">
        <v>8</v>
      </c>
      <c r="I8" s="9">
        <v>31000</v>
      </c>
      <c r="J8" s="9">
        <v>1600</v>
      </c>
      <c r="K8" s="10">
        <f t="shared" si="0"/>
        <v>0.92307692307692313</v>
      </c>
      <c r="L8" s="11">
        <f t="shared" si="1"/>
        <v>32600</v>
      </c>
      <c r="M8" s="11">
        <f t="shared" si="2"/>
        <v>1253.8461538461538</v>
      </c>
    </row>
    <row r="9" spans="1:13">
      <c r="A9" s="9" t="s">
        <v>54</v>
      </c>
      <c r="B9" s="9" t="s">
        <v>16</v>
      </c>
      <c r="C9" s="9" t="s">
        <v>4</v>
      </c>
      <c r="D9" s="9" t="s">
        <v>32</v>
      </c>
      <c r="E9" s="9">
        <v>26</v>
      </c>
      <c r="F9" s="9">
        <v>23</v>
      </c>
      <c r="G9" s="9">
        <v>3</v>
      </c>
      <c r="H9" s="9">
        <v>5</v>
      </c>
      <c r="I9" s="9">
        <v>29000</v>
      </c>
      <c r="J9" s="9">
        <v>1000</v>
      </c>
      <c r="K9" s="10">
        <f t="shared" si="0"/>
        <v>0.88461538461538458</v>
      </c>
      <c r="L9" s="11">
        <f t="shared" si="1"/>
        <v>30000</v>
      </c>
      <c r="M9" s="11">
        <f t="shared" si="2"/>
        <v>1153.8461538461538</v>
      </c>
    </row>
    <row r="10" spans="1:13">
      <c r="A10" s="9" t="s">
        <v>55</v>
      </c>
      <c r="B10" s="9" t="s">
        <v>20</v>
      </c>
      <c r="C10" s="9" t="s">
        <v>6</v>
      </c>
      <c r="D10" s="9" t="s">
        <v>32</v>
      </c>
      <c r="E10" s="9">
        <v>26</v>
      </c>
      <c r="F10" s="9">
        <v>21</v>
      </c>
      <c r="G10" s="9">
        <v>5</v>
      </c>
      <c r="H10" s="9">
        <v>16</v>
      </c>
      <c r="I10" s="9">
        <v>26000</v>
      </c>
      <c r="J10" s="9">
        <v>3200</v>
      </c>
      <c r="K10" s="10">
        <f t="shared" si="0"/>
        <v>0.80769230769230771</v>
      </c>
      <c r="L10" s="11">
        <f t="shared" si="1"/>
        <v>29200</v>
      </c>
      <c r="M10" s="11">
        <f t="shared" si="2"/>
        <v>1123.0769230769231</v>
      </c>
    </row>
    <row r="11" spans="1:13">
      <c r="A11" s="9" t="s">
        <v>56</v>
      </c>
      <c r="B11" s="9" t="s">
        <v>14</v>
      </c>
      <c r="C11" s="9" t="s">
        <v>3</v>
      </c>
      <c r="D11" s="9" t="s">
        <v>32</v>
      </c>
      <c r="E11" s="9">
        <v>26</v>
      </c>
      <c r="F11" s="9">
        <v>25</v>
      </c>
      <c r="G11" s="9">
        <v>1</v>
      </c>
      <c r="H11" s="9">
        <v>4</v>
      </c>
      <c r="I11" s="9">
        <v>34000</v>
      </c>
      <c r="J11" s="9">
        <v>800</v>
      </c>
      <c r="K11" s="10">
        <f t="shared" si="0"/>
        <v>0.96153846153846156</v>
      </c>
      <c r="L11" s="11">
        <f t="shared" si="1"/>
        <v>34800</v>
      </c>
      <c r="M11" s="11">
        <f t="shared" si="2"/>
        <v>1338.4615384615386</v>
      </c>
    </row>
    <row r="12" spans="1:13">
      <c r="A12" s="9" t="s">
        <v>46</v>
      </c>
      <c r="B12" s="9" t="s">
        <v>13</v>
      </c>
      <c r="C12" s="9" t="s">
        <v>6</v>
      </c>
      <c r="D12" s="9" t="s">
        <v>33</v>
      </c>
      <c r="E12" s="9">
        <v>24</v>
      </c>
      <c r="F12" s="9">
        <v>23</v>
      </c>
      <c r="G12" s="9">
        <v>1</v>
      </c>
      <c r="H12" s="9">
        <v>10</v>
      </c>
      <c r="I12" s="9">
        <v>28000</v>
      </c>
      <c r="J12" s="9">
        <v>2000</v>
      </c>
      <c r="K12" s="10">
        <f t="shared" si="0"/>
        <v>0.95833333333333337</v>
      </c>
      <c r="L12" s="11">
        <f t="shared" si="1"/>
        <v>30000</v>
      </c>
      <c r="M12" s="11">
        <f t="shared" si="2"/>
        <v>1250</v>
      </c>
    </row>
    <row r="13" spans="1:13">
      <c r="A13" s="9" t="s">
        <v>47</v>
      </c>
      <c r="B13" s="9" t="s">
        <v>17</v>
      </c>
      <c r="C13" s="9" t="s">
        <v>4</v>
      </c>
      <c r="D13" s="9" t="s">
        <v>33</v>
      </c>
      <c r="E13" s="9">
        <v>24</v>
      </c>
      <c r="F13" s="9">
        <v>24</v>
      </c>
      <c r="G13" s="9">
        <v>0</v>
      </c>
      <c r="H13" s="9">
        <v>6</v>
      </c>
      <c r="I13" s="9">
        <v>30000</v>
      </c>
      <c r="J13" s="9">
        <v>1200</v>
      </c>
      <c r="K13" s="10">
        <f t="shared" si="0"/>
        <v>1</v>
      </c>
      <c r="L13" s="11">
        <f t="shared" si="1"/>
        <v>31200</v>
      </c>
      <c r="M13" s="11">
        <f t="shared" si="2"/>
        <v>1300</v>
      </c>
    </row>
    <row r="14" spans="1:13">
      <c r="A14" s="9" t="s">
        <v>48</v>
      </c>
      <c r="B14" s="9" t="s">
        <v>18</v>
      </c>
      <c r="C14" s="9" t="s">
        <v>7</v>
      </c>
      <c r="D14" s="9" t="s">
        <v>33</v>
      </c>
      <c r="E14" s="9">
        <v>24</v>
      </c>
      <c r="F14" s="9">
        <v>21</v>
      </c>
      <c r="G14" s="9">
        <v>3</v>
      </c>
      <c r="H14" s="9">
        <v>14</v>
      </c>
      <c r="I14" s="9">
        <v>32000</v>
      </c>
      <c r="J14" s="9">
        <v>2800</v>
      </c>
      <c r="K14" s="10">
        <f t="shared" si="0"/>
        <v>0.875</v>
      </c>
      <c r="L14" s="11">
        <f t="shared" si="1"/>
        <v>34800</v>
      </c>
      <c r="M14" s="11">
        <f t="shared" si="2"/>
        <v>1450</v>
      </c>
    </row>
    <row r="15" spans="1:13">
      <c r="A15" s="9" t="s">
        <v>50</v>
      </c>
      <c r="B15" s="9" t="s">
        <v>15</v>
      </c>
      <c r="C15" s="9" t="s">
        <v>3</v>
      </c>
      <c r="D15" s="9" t="s">
        <v>33</v>
      </c>
      <c r="E15" s="9">
        <v>24</v>
      </c>
      <c r="F15" s="9">
        <v>23</v>
      </c>
      <c r="G15" s="9">
        <v>1</v>
      </c>
      <c r="H15" s="9">
        <v>8</v>
      </c>
      <c r="I15" s="9">
        <v>35000</v>
      </c>
      <c r="J15" s="9">
        <v>1600</v>
      </c>
      <c r="K15" s="10">
        <f t="shared" si="0"/>
        <v>0.95833333333333337</v>
      </c>
      <c r="L15" s="11">
        <f t="shared" si="1"/>
        <v>36600</v>
      </c>
      <c r="M15" s="11">
        <f t="shared" si="2"/>
        <v>1525</v>
      </c>
    </row>
    <row r="16" spans="1:13">
      <c r="A16" s="9" t="s">
        <v>51</v>
      </c>
      <c r="B16" s="9" t="s">
        <v>19</v>
      </c>
      <c r="C16" s="9" t="s">
        <v>6</v>
      </c>
      <c r="D16" s="9" t="s">
        <v>33</v>
      </c>
      <c r="E16" s="9">
        <v>24</v>
      </c>
      <c r="F16" s="9">
        <v>22</v>
      </c>
      <c r="G16" s="9">
        <v>2</v>
      </c>
      <c r="H16" s="9">
        <v>12</v>
      </c>
      <c r="I16" s="9">
        <v>27000</v>
      </c>
      <c r="J16" s="9">
        <v>2400</v>
      </c>
      <c r="K16" s="10">
        <f t="shared" si="0"/>
        <v>0.91666666666666663</v>
      </c>
      <c r="L16" s="11">
        <f t="shared" si="1"/>
        <v>29400</v>
      </c>
      <c r="M16" s="11">
        <f t="shared" si="2"/>
        <v>1225</v>
      </c>
    </row>
    <row r="17" spans="1:13">
      <c r="A17" s="9" t="s">
        <v>52</v>
      </c>
      <c r="B17" s="9" t="s">
        <v>21</v>
      </c>
      <c r="C17" s="9" t="s">
        <v>5</v>
      </c>
      <c r="D17" s="9" t="s">
        <v>33</v>
      </c>
      <c r="E17" s="9">
        <v>24</v>
      </c>
      <c r="F17" s="9">
        <v>24</v>
      </c>
      <c r="G17" s="9">
        <v>0</v>
      </c>
      <c r="H17" s="9">
        <v>16</v>
      </c>
      <c r="I17" s="9">
        <v>40000</v>
      </c>
      <c r="J17" s="9">
        <v>3200</v>
      </c>
      <c r="K17" s="10">
        <f t="shared" si="0"/>
        <v>1</v>
      </c>
      <c r="L17" s="11">
        <f t="shared" si="1"/>
        <v>43200</v>
      </c>
      <c r="M17" s="11">
        <f t="shared" si="2"/>
        <v>1800</v>
      </c>
    </row>
    <row r="18" spans="1:13">
      <c r="A18" s="9" t="s">
        <v>53</v>
      </c>
      <c r="B18" s="9" t="s">
        <v>22</v>
      </c>
      <c r="C18" s="9" t="s">
        <v>7</v>
      </c>
      <c r="D18" s="9" t="s">
        <v>33</v>
      </c>
      <c r="E18" s="9">
        <v>24</v>
      </c>
      <c r="F18" s="9">
        <v>22</v>
      </c>
      <c r="G18" s="9">
        <v>2</v>
      </c>
      <c r="H18" s="9">
        <v>10</v>
      </c>
      <c r="I18" s="9">
        <v>31000</v>
      </c>
      <c r="J18" s="9">
        <v>2000</v>
      </c>
      <c r="K18" s="10">
        <f t="shared" si="0"/>
        <v>0.91666666666666663</v>
      </c>
      <c r="L18" s="11">
        <f t="shared" si="1"/>
        <v>33000</v>
      </c>
      <c r="M18" s="11">
        <f t="shared" si="2"/>
        <v>1375</v>
      </c>
    </row>
    <row r="19" spans="1:13">
      <c r="A19" s="9" t="s">
        <v>54</v>
      </c>
      <c r="B19" s="9" t="s">
        <v>16</v>
      </c>
      <c r="C19" s="9" t="s">
        <v>4</v>
      </c>
      <c r="D19" s="9" t="s">
        <v>33</v>
      </c>
      <c r="E19" s="9">
        <v>24</v>
      </c>
      <c r="F19" s="9">
        <v>23</v>
      </c>
      <c r="G19" s="9">
        <v>1</v>
      </c>
      <c r="H19" s="9">
        <v>4</v>
      </c>
      <c r="I19" s="9">
        <v>29000</v>
      </c>
      <c r="J19" s="9">
        <v>800</v>
      </c>
      <c r="K19" s="10">
        <f t="shared" si="0"/>
        <v>0.95833333333333337</v>
      </c>
      <c r="L19" s="11">
        <f t="shared" si="1"/>
        <v>29800</v>
      </c>
      <c r="M19" s="11">
        <f t="shared" si="2"/>
        <v>1241.6666666666667</v>
      </c>
    </row>
    <row r="20" spans="1:13">
      <c r="A20" s="9" t="s">
        <v>55</v>
      </c>
      <c r="B20" s="9" t="s">
        <v>20</v>
      </c>
      <c r="C20" s="9" t="s">
        <v>6</v>
      </c>
      <c r="D20" s="9" t="s">
        <v>33</v>
      </c>
      <c r="E20" s="9">
        <v>24</v>
      </c>
      <c r="F20" s="9">
        <v>20</v>
      </c>
      <c r="G20" s="9">
        <v>4</v>
      </c>
      <c r="H20" s="9">
        <v>18</v>
      </c>
      <c r="I20" s="9">
        <v>26000</v>
      </c>
      <c r="J20" s="9">
        <v>3600</v>
      </c>
      <c r="K20" s="10">
        <f t="shared" si="0"/>
        <v>0.83333333333333337</v>
      </c>
      <c r="L20" s="11">
        <f t="shared" si="1"/>
        <v>29600</v>
      </c>
      <c r="M20" s="11">
        <f t="shared" si="2"/>
        <v>1233.3333333333333</v>
      </c>
    </row>
    <row r="21" spans="1:13">
      <c r="A21" s="9" t="s">
        <v>56</v>
      </c>
      <c r="B21" s="9" t="s">
        <v>14</v>
      </c>
      <c r="C21" s="9" t="s">
        <v>3</v>
      </c>
      <c r="D21" s="9" t="s">
        <v>33</v>
      </c>
      <c r="E21" s="9">
        <v>24</v>
      </c>
      <c r="F21" s="9">
        <v>24</v>
      </c>
      <c r="G21" s="9">
        <v>0</v>
      </c>
      <c r="H21" s="9">
        <v>6</v>
      </c>
      <c r="I21" s="9">
        <v>34000</v>
      </c>
      <c r="J21" s="9">
        <v>1200</v>
      </c>
      <c r="K21" s="10">
        <f t="shared" si="0"/>
        <v>1</v>
      </c>
      <c r="L21" s="11">
        <f t="shared" si="1"/>
        <v>35200</v>
      </c>
      <c r="M21" s="11">
        <f t="shared" si="2"/>
        <v>1466.6666666666667</v>
      </c>
    </row>
    <row r="22" spans="1:13">
      <c r="A22" s="9" t="s">
        <v>46</v>
      </c>
      <c r="B22" s="9" t="s">
        <v>13</v>
      </c>
      <c r="C22" s="9" t="s">
        <v>6</v>
      </c>
      <c r="D22" s="9" t="s">
        <v>34</v>
      </c>
      <c r="E22" s="9">
        <v>27</v>
      </c>
      <c r="F22" s="9">
        <v>26</v>
      </c>
      <c r="G22" s="9">
        <v>1</v>
      </c>
      <c r="H22" s="9">
        <v>12</v>
      </c>
      <c r="I22" s="9">
        <v>28000</v>
      </c>
      <c r="J22" s="9">
        <v>2400</v>
      </c>
      <c r="K22" s="10">
        <f t="shared" si="0"/>
        <v>0.96296296296296291</v>
      </c>
      <c r="L22" s="11">
        <f t="shared" si="1"/>
        <v>30400</v>
      </c>
      <c r="M22" s="11">
        <f t="shared" si="2"/>
        <v>1125.9259259259259</v>
      </c>
    </row>
    <row r="23" spans="1:13">
      <c r="A23" s="9" t="s">
        <v>47</v>
      </c>
      <c r="B23" s="9" t="s">
        <v>17</v>
      </c>
      <c r="C23" s="9" t="s">
        <v>4</v>
      </c>
      <c r="D23" s="9" t="s">
        <v>34</v>
      </c>
      <c r="E23" s="9">
        <v>27</v>
      </c>
      <c r="F23" s="9">
        <v>26</v>
      </c>
      <c r="G23" s="9">
        <v>1</v>
      </c>
      <c r="H23" s="9">
        <v>5</v>
      </c>
      <c r="I23" s="9">
        <v>30000</v>
      </c>
      <c r="J23" s="9">
        <v>1000</v>
      </c>
      <c r="K23" s="10">
        <f t="shared" si="0"/>
        <v>0.96296296296296291</v>
      </c>
      <c r="L23" s="11">
        <f t="shared" si="1"/>
        <v>31000</v>
      </c>
      <c r="M23" s="11">
        <f t="shared" si="2"/>
        <v>1148.148148148148</v>
      </c>
    </row>
    <row r="24" spans="1:13">
      <c r="A24" s="9" t="s">
        <v>48</v>
      </c>
      <c r="B24" s="9" t="s">
        <v>18</v>
      </c>
      <c r="C24" s="9" t="s">
        <v>7</v>
      </c>
      <c r="D24" s="9" t="s">
        <v>34</v>
      </c>
      <c r="E24" s="9">
        <v>27</v>
      </c>
      <c r="F24" s="9">
        <v>23</v>
      </c>
      <c r="G24" s="9">
        <v>4</v>
      </c>
      <c r="H24" s="9">
        <v>15</v>
      </c>
      <c r="I24" s="9">
        <v>32000</v>
      </c>
      <c r="J24" s="9">
        <v>3000</v>
      </c>
      <c r="K24" s="10">
        <f t="shared" si="0"/>
        <v>0.85185185185185186</v>
      </c>
      <c r="L24" s="11">
        <f t="shared" si="1"/>
        <v>35000</v>
      </c>
      <c r="M24" s="11">
        <f t="shared" si="2"/>
        <v>1296.2962962962963</v>
      </c>
    </row>
    <row r="25" spans="1:13">
      <c r="A25" s="9" t="s">
        <v>50</v>
      </c>
      <c r="B25" s="9" t="s">
        <v>15</v>
      </c>
      <c r="C25" s="9" t="s">
        <v>3</v>
      </c>
      <c r="D25" s="9" t="s">
        <v>34</v>
      </c>
      <c r="E25" s="9">
        <v>27</v>
      </c>
      <c r="F25" s="9">
        <v>26</v>
      </c>
      <c r="G25" s="9">
        <v>1</v>
      </c>
      <c r="H25" s="9">
        <v>7</v>
      </c>
      <c r="I25" s="9">
        <v>35000</v>
      </c>
      <c r="J25" s="9">
        <v>1400</v>
      </c>
      <c r="K25" s="10">
        <f t="shared" si="0"/>
        <v>0.96296296296296291</v>
      </c>
      <c r="L25" s="11">
        <f t="shared" si="1"/>
        <v>36400</v>
      </c>
      <c r="M25" s="11">
        <f t="shared" si="2"/>
        <v>1348.148148148148</v>
      </c>
    </row>
    <row r="26" spans="1:13">
      <c r="A26" s="9" t="s">
        <v>51</v>
      </c>
      <c r="B26" s="9" t="s">
        <v>19</v>
      </c>
      <c r="C26" s="9" t="s">
        <v>6</v>
      </c>
      <c r="D26" s="9" t="s">
        <v>34</v>
      </c>
      <c r="E26" s="9">
        <v>27</v>
      </c>
      <c r="F26" s="9">
        <v>24</v>
      </c>
      <c r="G26" s="9">
        <v>3</v>
      </c>
      <c r="H26" s="9">
        <v>14</v>
      </c>
      <c r="I26" s="9">
        <v>27000</v>
      </c>
      <c r="J26" s="9">
        <v>2800</v>
      </c>
      <c r="K26" s="10">
        <f t="shared" si="0"/>
        <v>0.88888888888888884</v>
      </c>
      <c r="L26" s="11">
        <f t="shared" si="1"/>
        <v>29800</v>
      </c>
      <c r="M26" s="11">
        <f t="shared" si="2"/>
        <v>1103.7037037037037</v>
      </c>
    </row>
    <row r="27" spans="1:13">
      <c r="A27" s="9" t="s">
        <v>52</v>
      </c>
      <c r="B27" s="9" t="s">
        <v>21</v>
      </c>
      <c r="C27" s="9" t="s">
        <v>5</v>
      </c>
      <c r="D27" s="9" t="s">
        <v>34</v>
      </c>
      <c r="E27" s="9">
        <v>27</v>
      </c>
      <c r="F27" s="9">
        <v>27</v>
      </c>
      <c r="G27" s="9">
        <v>0</v>
      </c>
      <c r="H27" s="9">
        <v>18</v>
      </c>
      <c r="I27" s="9">
        <v>40000</v>
      </c>
      <c r="J27" s="9">
        <v>3600</v>
      </c>
      <c r="K27" s="10">
        <f t="shared" si="0"/>
        <v>1</v>
      </c>
      <c r="L27" s="11">
        <f t="shared" si="1"/>
        <v>43600</v>
      </c>
      <c r="M27" s="11">
        <f t="shared" si="2"/>
        <v>1614.8148148148148</v>
      </c>
    </row>
    <row r="28" spans="1:13">
      <c r="A28" s="9" t="s">
        <v>53</v>
      </c>
      <c r="B28" s="9" t="s">
        <v>22</v>
      </c>
      <c r="C28" s="9" t="s">
        <v>7</v>
      </c>
      <c r="D28" s="9" t="s">
        <v>34</v>
      </c>
      <c r="E28" s="9">
        <v>27</v>
      </c>
      <c r="F28" s="9">
        <v>25</v>
      </c>
      <c r="G28" s="9">
        <v>2</v>
      </c>
      <c r="H28" s="9">
        <v>11</v>
      </c>
      <c r="I28" s="9">
        <v>31000</v>
      </c>
      <c r="J28" s="9">
        <v>2200</v>
      </c>
      <c r="K28" s="10">
        <f t="shared" si="0"/>
        <v>0.92592592592592593</v>
      </c>
      <c r="L28" s="11">
        <f t="shared" si="1"/>
        <v>33200</v>
      </c>
      <c r="M28" s="11">
        <f t="shared" si="2"/>
        <v>1229.6296296296296</v>
      </c>
    </row>
    <row r="29" spans="1:13">
      <c r="A29" s="9" t="s">
        <v>54</v>
      </c>
      <c r="B29" s="9" t="s">
        <v>16</v>
      </c>
      <c r="C29" s="9" t="s">
        <v>4</v>
      </c>
      <c r="D29" s="9" t="s">
        <v>34</v>
      </c>
      <c r="E29" s="9">
        <v>27</v>
      </c>
      <c r="F29" s="9">
        <v>24</v>
      </c>
      <c r="G29" s="9">
        <v>3</v>
      </c>
      <c r="H29" s="9">
        <v>6</v>
      </c>
      <c r="I29" s="9">
        <v>29000</v>
      </c>
      <c r="J29" s="9">
        <v>1200</v>
      </c>
      <c r="K29" s="10">
        <f t="shared" si="0"/>
        <v>0.88888888888888884</v>
      </c>
      <c r="L29" s="11">
        <f t="shared" si="1"/>
        <v>30200</v>
      </c>
      <c r="M29" s="11">
        <f t="shared" si="2"/>
        <v>1118.5185185185185</v>
      </c>
    </row>
    <row r="30" spans="1:13">
      <c r="A30" s="9" t="s">
        <v>55</v>
      </c>
      <c r="B30" s="9" t="s">
        <v>20</v>
      </c>
      <c r="C30" s="9" t="s">
        <v>6</v>
      </c>
      <c r="D30" s="9" t="s">
        <v>34</v>
      </c>
      <c r="E30" s="9">
        <v>27</v>
      </c>
      <c r="F30" s="9">
        <v>22</v>
      </c>
      <c r="G30" s="9">
        <v>5</v>
      </c>
      <c r="H30" s="9">
        <v>20</v>
      </c>
      <c r="I30" s="9">
        <v>26000</v>
      </c>
      <c r="J30" s="9">
        <v>4000</v>
      </c>
      <c r="K30" s="10">
        <f t="shared" si="0"/>
        <v>0.81481481481481477</v>
      </c>
      <c r="L30" s="11">
        <f t="shared" si="1"/>
        <v>30000</v>
      </c>
      <c r="M30" s="11">
        <f t="shared" si="2"/>
        <v>1111.1111111111111</v>
      </c>
    </row>
    <row r="31" spans="1:13">
      <c r="A31" s="9" t="s">
        <v>56</v>
      </c>
      <c r="B31" s="9" t="s">
        <v>14</v>
      </c>
      <c r="C31" s="9" t="s">
        <v>3</v>
      </c>
      <c r="D31" s="9" t="s">
        <v>34</v>
      </c>
      <c r="E31" s="9">
        <v>27</v>
      </c>
      <c r="F31" s="9">
        <v>25</v>
      </c>
      <c r="G31" s="9">
        <v>2</v>
      </c>
      <c r="H31" s="9">
        <v>8</v>
      </c>
      <c r="I31" s="9">
        <v>34000</v>
      </c>
      <c r="J31" s="9">
        <v>1600</v>
      </c>
      <c r="K31" s="10">
        <f t="shared" si="0"/>
        <v>0.92592592592592593</v>
      </c>
      <c r="L31" s="11">
        <f t="shared" si="1"/>
        <v>35600</v>
      </c>
      <c r="M31" s="11">
        <f t="shared" si="2"/>
        <v>1318.5185185185185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2026-09-24T10:19:18Z</dcterms:created>
  <dcterms:modified xsi:type="dcterms:W3CDTF">2026-09-24T11:20:18Z</dcterms:modified>
  <cp:category/>
  <cp:contentStatus/>
</cp:coreProperties>
</file>